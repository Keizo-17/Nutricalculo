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k-171\Desktop\Calculo Nutricional\EXCEL\"/>
    </mc:Choice>
  </mc:AlternateContent>
  <xr:revisionPtr revIDLastSave="0" documentId="13_ncr:1_{DDAE6EB1-918F-4804-B239-220FBFB45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erimientos Energéticos" sheetId="1" r:id="rId1"/>
    <sheet name="Hoja4" sheetId="4" state="hidden" r:id="rId2"/>
    <sheet name="Grupos e Intercambios" sheetId="2" r:id="rId3"/>
    <sheet name="Plan Diario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0" i="1"/>
  <c r="B19" i="1"/>
  <c r="D16" i="1" a="1"/>
  <c r="D15" i="1" a="1"/>
  <c r="D14" i="1" a="1"/>
  <c r="D13" i="1"/>
  <c r="C20" i="1" l="1"/>
  <c r="C19" i="1"/>
  <c r="B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<sst xmlns="http://schemas.openxmlformats.org/spreadsheetml/2006/main" count="588" uniqueCount="74">
  <si>
    <t>Lic. Raiza Cortés</t>
  </si>
  <si>
    <t>Nutricionista – Dietista</t>
  </si>
  <si>
    <t>°N de Idoneidad</t>
  </si>
  <si>
    <t>Tel:</t>
  </si>
  <si>
    <t>Correo:</t>
  </si>
  <si>
    <t>Instagram:</t>
  </si>
  <si>
    <t>CALCULOS DE REQUERIMIENTOS ENERGÉTICOS</t>
  </si>
  <si>
    <t>Sexo (M/F)</t>
  </si>
  <si>
    <t>Edad (años)</t>
  </si>
  <si>
    <t>Peso (kg)</t>
  </si>
  <si>
    <t>Talla (cm)</t>
  </si>
  <si>
    <t>Nivel actividad (1.2-2.0)</t>
  </si>
  <si>
    <t>Factor estrés (1.0-1.5)</t>
  </si>
  <si>
    <t>Objetivo</t>
  </si>
  <si>
    <t>Método</t>
  </si>
  <si>
    <t>GEB (kcal)</t>
  </si>
  <si>
    <t>GET (kcal)</t>
  </si>
  <si>
    <t>Harris-Benedict</t>
  </si>
  <si>
    <t>Mifflin–St Jeor</t>
  </si>
  <si>
    <t>Rápido (kcal/kg según peso)</t>
  </si>
  <si>
    <t>IMC</t>
  </si>
  <si>
    <t>Factor</t>
  </si>
  <si>
    <t>Nivel de Actividad</t>
  </si>
  <si>
    <t>Masculino</t>
  </si>
  <si>
    <t>Femenino</t>
  </si>
  <si>
    <t>Encamado</t>
  </si>
  <si>
    <t>Sendentario</t>
  </si>
  <si>
    <t>Actividad Ligera</t>
  </si>
  <si>
    <t>Actividad Moderada</t>
  </si>
  <si>
    <t>Actividad Intensa</t>
  </si>
  <si>
    <t>Nivel de Estres</t>
  </si>
  <si>
    <t>Bajo</t>
  </si>
  <si>
    <t>Medio</t>
  </si>
  <si>
    <t>Alto</t>
  </si>
  <si>
    <t>Ambulatorio</t>
  </si>
  <si>
    <t>Aumento de Peso</t>
  </si>
  <si>
    <t>Cirugía</t>
  </si>
  <si>
    <t>Infección</t>
  </si>
  <si>
    <t>Trauma</t>
  </si>
  <si>
    <t>Quemaduras</t>
  </si>
  <si>
    <t>Sedentario</t>
  </si>
  <si>
    <t>Moderado</t>
  </si>
  <si>
    <t>Atletico</t>
  </si>
  <si>
    <t>Perder Peso</t>
  </si>
  <si>
    <t>Mantener Peso</t>
  </si>
  <si>
    <t>N° de Idoneidad: ____________________</t>
  </si>
  <si>
    <t>Grupo de Alimento</t>
  </si>
  <si>
    <t>Porciones/Intercambios</t>
  </si>
  <si>
    <t>Energía (kcal)</t>
  </si>
  <si>
    <t>CHO (g)</t>
  </si>
  <si>
    <t>Proteínas (g)</t>
  </si>
  <si>
    <t>Grasas (g)</t>
  </si>
  <si>
    <t>Total kcal</t>
  </si>
  <si>
    <t>Total CHO/Prot/Grasas</t>
  </si>
  <si>
    <t>Cereales / Tubérculos</t>
  </si>
  <si>
    <t/>
  </si>
  <si>
    <t>Verduras</t>
  </si>
  <si>
    <t>Frutas</t>
  </si>
  <si>
    <t>Lácteos enteros</t>
  </si>
  <si>
    <t>Lácteos descremados</t>
  </si>
  <si>
    <t>Carnes muy magras</t>
  </si>
  <si>
    <t>Carnes magras</t>
  </si>
  <si>
    <t>Carnes moderadas</t>
  </si>
  <si>
    <t>Carnes grasas</t>
  </si>
  <si>
    <t>Grasas</t>
  </si>
  <si>
    <t>Azúcares</t>
  </si>
  <si>
    <t>Tiempo de comida</t>
  </si>
  <si>
    <t>Porciones</t>
  </si>
  <si>
    <t>Desayuno</t>
  </si>
  <si>
    <t>Colación AM</t>
  </si>
  <si>
    <t>Almuerzo</t>
  </si>
  <si>
    <t>Colación PM</t>
  </si>
  <si>
    <t>Cena</t>
  </si>
  <si>
    <t>Colación nocturna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</si>
</sst>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_ "/>
    <numFmt numFmtId="169" formatCode="0.0_ "/>
  </numFmts>
  <fonts count="4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3D2"/>
        <bgColor rgb="FFCCF3D2"/>
      </patternFill>
    </fill>
    <fill>
      <patternFill patternType="solid">
        <fgColor rgb="FF36BE5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3" xfId="0" applyFont="1" applyFill="1" applyBorder="1"/>
    <xf numFmtId="0" fontId="0" fillId="0" borderId="6" xfId="0" applyBorder="1"/>
    <xf numFmtId="0" fontId="1" fillId="2" borderId="6" xfId="0" applyFont="1" applyFill="1" applyBorder="1"/>
    <xf numFmtId="0" fontId="0" fillId="0" borderId="0" xfId="0" applyAlignment="1">
      <alignment vertical="center"/>
    </xf>
    <xf numFmtId="168" fontId="0" fillId="0" borderId="0" xfId="0" applyNumberFormat="1"/>
    <xf numFmtId="0" fontId="2" fillId="0" borderId="3" xfId="0" applyFont="1" applyBorder="1"/>
    <xf numFmtId="0" fontId="0" fillId="0" borderId="10" xfId="0" applyBorder="1" applyProtection="1">
      <protection locked="0"/>
    </xf>
    <xf numFmtId="0" fontId="0" fillId="0" borderId="0" xfId="0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0" fontId="0" fillId="0" borderId="11" xfId="0" applyBorder="1" applyProtection="1">
      <protection locked="0"/>
    </xf>
    <xf numFmtId="0" fontId="0" fillId="0" borderId="3" xfId="0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0" fillId="0" borderId="15" xfId="0" applyBorder="1"/>
    <xf numFmtId="168" fontId="0" fillId="0" borderId="10" xfId="0" applyNumberFormat="1" applyBorder="1"/>
    <xf numFmtId="168" fontId="0" fillId="0" borderId="16" xfId="0" applyNumberFormat="1" applyBorder="1"/>
    <xf numFmtId="0" fontId="0" fillId="0" borderId="17" xfId="0" applyBorder="1"/>
    <xf numFmtId="168" fontId="0" fillId="0" borderId="11" xfId="0" applyNumberFormat="1" applyBorder="1"/>
    <xf numFmtId="0" fontId="0" fillId="0" borderId="18" xfId="0" applyBorder="1"/>
    <xf numFmtId="168" fontId="0" fillId="0" borderId="19" xfId="0" applyNumberFormat="1" applyBorder="1"/>
    <xf numFmtId="168" fontId="0" fillId="0" borderId="20" xfId="0" applyNumberFormat="1" applyBorder="1"/>
    <xf numFmtId="0" fontId="2" fillId="0" borderId="3" xfId="0" applyFont="1" applyBorder="1" applyAlignment="1">
      <alignment horizontal="left"/>
    </xf>
    <xf numFmtId="169" fontId="0" fillId="0" borderId="0" xfId="0" applyNumberFormat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0" xfId="0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6BE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tabSelected="1" workbookViewId="0">
      <selection activeCell="C20" sqref="C20"/>
    </sheetView>
  </sheetViews>
  <sheetFormatPr baseColWidth="10" defaultColWidth="9" defaultRowHeight="14.4"/>
  <cols>
    <col min="1" max="1" width="25" customWidth="1"/>
    <col min="2" max="2" width="16.44140625" customWidth="1"/>
    <col min="3" max="3" width="17.21875" customWidth="1"/>
    <col min="4" max="4" width="10.21875" customWidth="1"/>
  </cols>
  <sheetData>
    <row r="1" spans="1:5" ht="15.6">
      <c r="A1" s="34" t="s">
        <v>0</v>
      </c>
      <c r="B1" s="35"/>
      <c r="C1" s="35"/>
      <c r="D1" s="35"/>
      <c r="E1" s="36"/>
    </row>
    <row r="2" spans="1:5" ht="15.6">
      <c r="A2" s="37" t="s">
        <v>1</v>
      </c>
      <c r="B2" s="38"/>
      <c r="C2" s="38"/>
      <c r="D2" s="38"/>
      <c r="E2" s="39"/>
    </row>
    <row r="3" spans="1:5" ht="15.6">
      <c r="A3" s="37" t="s">
        <v>2</v>
      </c>
      <c r="B3" s="38"/>
      <c r="C3" s="38"/>
      <c r="D3" s="38"/>
      <c r="E3" s="39"/>
    </row>
    <row r="4" spans="1:5" ht="15.6">
      <c r="A4" s="6"/>
      <c r="B4" s="3"/>
      <c r="C4" s="3"/>
      <c r="D4" s="3"/>
      <c r="E4" s="8"/>
    </row>
    <row r="5" spans="1:5" ht="15.6">
      <c r="A5" s="1" t="s">
        <v>3</v>
      </c>
      <c r="B5" s="2"/>
      <c r="C5" s="3"/>
      <c r="D5" s="3"/>
      <c r="E5" s="8"/>
    </row>
    <row r="6" spans="1:5" ht="15.6">
      <c r="A6" s="1" t="s">
        <v>4</v>
      </c>
      <c r="B6" s="2"/>
      <c r="C6" s="3"/>
      <c r="D6" s="3"/>
      <c r="E6" s="8"/>
    </row>
    <row r="7" spans="1:5" ht="15.6">
      <c r="A7" s="1" t="s">
        <v>5</v>
      </c>
      <c r="B7" s="5"/>
      <c r="C7" s="3"/>
      <c r="D7" s="3"/>
      <c r="E7" s="8"/>
    </row>
    <row r="8" spans="1:5" ht="15.6">
      <c r="A8" s="37"/>
      <c r="B8" s="40"/>
      <c r="C8" s="40"/>
      <c r="D8" s="40"/>
      <c r="E8" s="8"/>
    </row>
    <row r="9" spans="1:5">
      <c r="A9" s="41" t="s">
        <v>6</v>
      </c>
      <c r="B9" s="42"/>
      <c r="C9" s="42"/>
      <c r="D9" s="42"/>
      <c r="E9" s="43"/>
    </row>
    <row r="10" spans="1:5">
      <c r="A10" s="11" t="s">
        <v>7</v>
      </c>
      <c r="B10" s="12" t="s">
        <v>23</v>
      </c>
      <c r="D10" s="13"/>
      <c r="E10" s="7"/>
    </row>
    <row r="11" spans="1:5">
      <c r="A11" s="11" t="s">
        <v>8</v>
      </c>
      <c r="B11" s="14">
        <v>30</v>
      </c>
      <c r="D11" s="13"/>
      <c r="E11" s="7"/>
    </row>
    <row r="12" spans="1:5">
      <c r="A12" s="11" t="s">
        <v>9</v>
      </c>
      <c r="B12" s="14">
        <v>85</v>
      </c>
      <c r="D12" s="13"/>
      <c r="E12" s="7"/>
    </row>
    <row r="13" spans="1:5">
      <c r="A13" s="11" t="s">
        <v>10</v>
      </c>
      <c r="B13" s="14">
        <v>173</v>
      </c>
      <c r="D13" s="15">
        <f>B13/100</f>
        <v>1.73</v>
      </c>
      <c r="E13" s="7"/>
    </row>
    <row r="14" spans="1:5">
      <c r="A14" s="11" t="s">
        <v>11</v>
      </c>
      <c r="B14" s="16" t="s">
        <v>28</v>
      </c>
      <c r="D14" cm="1">
        <f t="array" ref="D14">IFERROR(INDEX(Hoja4!A2:C7,MATCH(B14,Hoja4!A2:A7,0),MATCH(B10,Hoja4!A2:C2,0)),1)</f>
        <v>1.56</v>
      </c>
      <c r="E14" s="7"/>
    </row>
    <row r="15" spans="1:5">
      <c r="A15" s="11" t="s">
        <v>12</v>
      </c>
      <c r="B15" s="16" t="s">
        <v>34</v>
      </c>
      <c r="C15" s="16" t="s">
        <v>31</v>
      </c>
      <c r="D15" cm="1">
        <f t="array" ref="D15">IFERROR(INDEX(Hoja4!A12:D18,MATCH(B15,Hoja4!A12:A18,0),MATCH(C15,Hoja4!A12:D12,0)),1)</f>
        <v>1.3</v>
      </c>
      <c r="E15" s="7"/>
    </row>
    <row r="16" spans="1:5">
      <c r="A16" s="11" t="s">
        <v>13</v>
      </c>
      <c r="B16" s="16" t="s">
        <v>43</v>
      </c>
      <c r="C16" s="16" t="s">
        <v>41</v>
      </c>
      <c r="D16" cm="1">
        <f t="array" ref="D16">IFERROR(INDEX(Hoja4!A22:D25,MATCH(B16,Hoja4!A22:A25,0),MATCH(C16,Hoja4!A22:D22,0)),0)</f>
        <v>33</v>
      </c>
      <c r="E16" s="7"/>
    </row>
    <row r="17" spans="1:5">
      <c r="A17" s="17"/>
      <c r="E17" s="7"/>
    </row>
    <row r="18" spans="1:5">
      <c r="A18" s="18" t="s">
        <v>14</v>
      </c>
      <c r="B18" s="19" t="s">
        <v>15</v>
      </c>
      <c r="C18" s="20" t="s">
        <v>16</v>
      </c>
      <c r="E18" s="7"/>
    </row>
    <row r="19" spans="1:5">
      <c r="A19" s="21" t="s">
        <v>17</v>
      </c>
      <c r="B19" s="22">
        <f>IF(B10="Masculino",(66+(13.7*B12)+(5*B13)-(6.8*B11)),IF(B10="Femenino",(655+(9.6*B12)+(1.7*B13)-(4.7*B11)),0))</f>
        <v>1891.5</v>
      </c>
      <c r="C19" s="23">
        <f>B19*$D$14*$D$15</f>
        <v>3835.9620000000004</v>
      </c>
      <c r="E19" s="7"/>
    </row>
    <row r="20" spans="1:5">
      <c r="A20" s="24" t="s">
        <v>18</v>
      </c>
      <c r="B20" s="25">
        <f>IF(B10="Masculino",((10*B12)+(6.25*B13)-(5*B11)+5),IF(B10="Femenino",((10*B12)+(6.25*B13)-(5*B11)-161),0))</f>
        <v>1786.25</v>
      </c>
      <c r="C20" s="23">
        <f>B20*$D$14*$D$15</f>
        <v>3622.5150000000003</v>
      </c>
      <c r="E20" s="7"/>
    </row>
    <row r="21" spans="1:5">
      <c r="A21" s="26" t="s">
        <v>19</v>
      </c>
      <c r="B21" s="27">
        <f>B12*D16</f>
        <v>2805</v>
      </c>
      <c r="C21" s="28"/>
      <c r="E21" s="7"/>
    </row>
    <row r="22" spans="1:5">
      <c r="A22" s="17"/>
      <c r="E22" s="7"/>
    </row>
    <row r="23" spans="1:5">
      <c r="A23" s="29" t="s">
        <v>20</v>
      </c>
      <c r="B23" s="30">
        <f>IFERROR(B12/(D13*D13),"")</f>
        <v>28.400547963513649</v>
      </c>
      <c r="E23" s="7"/>
    </row>
    <row r="24" spans="1:5">
      <c r="A24" s="31"/>
      <c r="B24" s="32"/>
      <c r="C24" s="32"/>
      <c r="D24" s="32"/>
      <c r="E24" s="33"/>
    </row>
  </sheetData>
  <sheetProtection sheet="1" objects="1"/>
  <mergeCells count="5">
    <mergeCell ref="A1:E1"/>
    <mergeCell ref="A2:E2"/>
    <mergeCell ref="A3:E3"/>
    <mergeCell ref="A8:D8"/>
    <mergeCell ref="A9:E9"/>
  </mergeCells>
  <dataValidations count="1">
    <dataValidation type="list" allowBlank="1" showInputMessage="1" showErrorMessage="1" sqref="B10 D10" xr:uid="{00000000-0002-0000-0000-000000000000}">
      <formula1>"Femenino, Masculino"</formula1>
    </dataValidation>
  </dataValidations>
  <pageMargins left="0.75" right="0.75" top="1" bottom="1" header="0.5" footer="0.5"/>
  <pageSetup scale="5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Hoja4!$A$3:$A$7</xm:f>
          </x14:formula1>
          <xm:sqref>B14</xm:sqref>
        </x14:dataValidation>
        <x14:dataValidation type="list" allowBlank="1" showInputMessage="1" showErrorMessage="1" xr:uid="{00000000-0002-0000-0000-000002000000}">
          <x14:formula1>
            <xm:f>Hoja4!$A$13:$A$18</xm:f>
          </x14:formula1>
          <xm:sqref>B15</xm:sqref>
        </x14:dataValidation>
        <x14:dataValidation type="list" allowBlank="1" showInputMessage="1" showErrorMessage="1" xr:uid="{00000000-0002-0000-0000-000003000000}">
          <x14:formula1>
            <xm:f>Hoja4!$B$12:$D$12</xm:f>
          </x14:formula1>
          <xm:sqref>C15</xm:sqref>
        </x14:dataValidation>
        <x14:dataValidation type="list" allowBlank="1" showInputMessage="1" showErrorMessage="1" xr:uid="{00000000-0002-0000-0000-000004000000}">
          <x14:formula1>
            <xm:f>Hoja4!$A$23:$A$25</xm:f>
          </x14:formula1>
          <xm:sqref>B16</xm:sqref>
        </x14:dataValidation>
        <x14:dataValidation type="list" allowBlank="1" showInputMessage="1" showErrorMessage="1" xr:uid="{00000000-0002-0000-0000-000005000000}">
          <x14:formula1>
            <xm:f>Hoja4!$B$22:$D$22</xm:f>
          </x14:formula1>
          <xm:sqref>C16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B23" sqref="B23"/>
    </sheetView>
  </sheetViews>
  <sheetFormatPr baseColWidth="10" defaultColWidth="8.88671875" defaultRowHeight="14.4"/>
  <cols>
    <col min="1" max="1" width="21.109375" customWidth="1"/>
    <col min="2" max="2" width="10" customWidth="1"/>
  </cols>
  <sheetData>
    <row r="1" spans="1:4">
      <c r="A1" s="9"/>
      <c r="B1" s="44" t="s">
        <v>21</v>
      </c>
      <c r="C1" s="44"/>
    </row>
    <row r="2" spans="1:4">
      <c r="A2" s="9" t="s">
        <v>22</v>
      </c>
      <c r="B2" t="s">
        <v>23</v>
      </c>
      <c r="C2" t="s">
        <v>24</v>
      </c>
    </row>
    <row r="3" spans="1:4">
      <c r="A3" t="s">
        <v>25</v>
      </c>
      <c r="B3" s="10">
        <v>1.2</v>
      </c>
      <c r="C3" s="10">
        <v>1.2</v>
      </c>
    </row>
    <row r="4" spans="1:4">
      <c r="A4" t="s">
        <v>26</v>
      </c>
      <c r="B4" s="10">
        <v>1.3</v>
      </c>
      <c r="C4" s="10">
        <v>1.3</v>
      </c>
    </row>
    <row r="5" spans="1:4">
      <c r="A5" t="s">
        <v>27</v>
      </c>
      <c r="B5" s="10">
        <v>1.41</v>
      </c>
      <c r="C5" s="10">
        <v>1.42</v>
      </c>
    </row>
    <row r="6" spans="1:4">
      <c r="A6" t="s">
        <v>28</v>
      </c>
      <c r="B6" s="10">
        <v>1.56</v>
      </c>
      <c r="C6" s="10">
        <v>1.7</v>
      </c>
    </row>
    <row r="7" spans="1:4">
      <c r="A7" t="s">
        <v>29</v>
      </c>
      <c r="B7" s="10">
        <v>2.0099999999999998</v>
      </c>
      <c r="C7" s="10">
        <v>1.73</v>
      </c>
    </row>
    <row r="11" spans="1:4">
      <c r="A11" s="9"/>
      <c r="B11" s="44" t="s">
        <v>21</v>
      </c>
      <c r="C11" s="44"/>
      <c r="D11" s="44"/>
    </row>
    <row r="12" spans="1:4">
      <c r="A12" s="9" t="s">
        <v>30</v>
      </c>
      <c r="B12" t="s">
        <v>31</v>
      </c>
      <c r="C12" t="s">
        <v>32</v>
      </c>
      <c r="D12" t="s">
        <v>33</v>
      </c>
    </row>
    <row r="13" spans="1:4">
      <c r="A13" t="s">
        <v>34</v>
      </c>
      <c r="B13" s="10">
        <v>1.3</v>
      </c>
      <c r="C13" s="10">
        <v>1.3</v>
      </c>
      <c r="D13" s="10">
        <v>1.3</v>
      </c>
    </row>
    <row r="14" spans="1:4">
      <c r="A14" t="s">
        <v>35</v>
      </c>
      <c r="B14" s="10">
        <v>1.5</v>
      </c>
      <c r="C14" s="10">
        <v>1.5</v>
      </c>
      <c r="D14" s="10">
        <v>1.5</v>
      </c>
    </row>
    <row r="15" spans="1:4">
      <c r="A15" t="s">
        <v>36</v>
      </c>
      <c r="B15" s="10">
        <v>1.1000000000000001</v>
      </c>
      <c r="C15" s="10">
        <v>1.1499999999999999</v>
      </c>
      <c r="D15" s="10">
        <v>1.2</v>
      </c>
    </row>
    <row r="16" spans="1:4">
      <c r="A16" t="s">
        <v>37</v>
      </c>
      <c r="B16" s="10">
        <v>1.2</v>
      </c>
      <c r="C16" s="10">
        <v>1.4</v>
      </c>
      <c r="D16" s="10">
        <v>1.6</v>
      </c>
    </row>
    <row r="17" spans="1:4">
      <c r="A17" t="s">
        <v>38</v>
      </c>
      <c r="B17" s="10">
        <v>1.1000000000000001</v>
      </c>
      <c r="C17" s="10">
        <v>1.45</v>
      </c>
      <c r="D17" s="10">
        <v>1.8</v>
      </c>
    </row>
    <row r="18" spans="1:4">
      <c r="A18" t="s">
        <v>39</v>
      </c>
      <c r="B18" s="10">
        <v>1.5</v>
      </c>
      <c r="C18" s="10">
        <v>1.7</v>
      </c>
      <c r="D18" s="10">
        <v>1.9</v>
      </c>
    </row>
    <row r="22" spans="1:4">
      <c r="A22" t="s">
        <v>13</v>
      </c>
      <c r="B22" t="s">
        <v>40</v>
      </c>
      <c r="C22" t="s">
        <v>41</v>
      </c>
      <c r="D22" t="s">
        <v>42</v>
      </c>
    </row>
    <row r="23" spans="1:4">
      <c r="A23" t="s">
        <v>43</v>
      </c>
      <c r="B23">
        <v>28</v>
      </c>
      <c r="C23">
        <v>33</v>
      </c>
      <c r="D23">
        <v>38</v>
      </c>
    </row>
    <row r="24" spans="1:4">
      <c r="A24" t="s">
        <v>44</v>
      </c>
      <c r="B24">
        <v>32</v>
      </c>
      <c r="C24">
        <v>35</v>
      </c>
      <c r="D24">
        <v>39</v>
      </c>
    </row>
    <row r="25" spans="1:4">
      <c r="A25" t="s">
        <v>35</v>
      </c>
      <c r="B25">
        <v>34</v>
      </c>
      <c r="C25">
        <v>37</v>
      </c>
      <c r="D25">
        <v>40</v>
      </c>
    </row>
  </sheetData>
  <mergeCells count="2">
    <mergeCell ref="B1:C1"/>
    <mergeCell ref="B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F17" sqref="F17"/>
    </sheetView>
  </sheetViews>
  <sheetFormatPr baseColWidth="10" defaultColWidth="9" defaultRowHeight="14.4"/>
  <cols>
    <col min="1" max="8" width="20" customWidth="1"/>
  </cols>
  <sheetData>
    <row r="1" spans="1:9" ht="15.6">
      <c r="A1" s="34" t="s">
        <v>0</v>
      </c>
      <c r="B1" s="45"/>
      <c r="C1" s="45"/>
      <c r="D1" s="45"/>
      <c r="E1" s="45"/>
      <c r="F1" s="45"/>
      <c r="G1" s="45"/>
      <c r="H1" s="45"/>
      <c r="I1" s="46"/>
    </row>
    <row r="2" spans="1:9" ht="15.6">
      <c r="A2" s="37" t="s">
        <v>1</v>
      </c>
      <c r="B2" s="40"/>
      <c r="C2" s="40"/>
      <c r="D2" s="40"/>
      <c r="E2" s="40"/>
      <c r="F2" s="40"/>
      <c r="G2" s="40"/>
      <c r="H2" s="40"/>
      <c r="I2" s="47"/>
    </row>
    <row r="3" spans="1:9" ht="15.6">
      <c r="A3" s="37" t="s">
        <v>2</v>
      </c>
      <c r="B3" s="40"/>
      <c r="C3" s="40"/>
      <c r="D3" s="40"/>
      <c r="E3" s="40"/>
      <c r="F3" s="40"/>
      <c r="G3" s="40"/>
      <c r="H3" s="40"/>
      <c r="I3" s="47"/>
    </row>
    <row r="4" spans="1:9" ht="15.6">
      <c r="A4" s="37"/>
      <c r="B4" s="40"/>
      <c r="C4" s="40"/>
      <c r="D4" s="40"/>
      <c r="E4" s="40"/>
      <c r="F4" s="40"/>
      <c r="G4" s="40"/>
      <c r="H4" s="40"/>
      <c r="I4" s="47"/>
    </row>
    <row r="5" spans="1:9" ht="15.6">
      <c r="A5" s="1" t="s">
        <v>3</v>
      </c>
      <c r="B5" s="2"/>
      <c r="C5" s="3"/>
      <c r="D5" s="4" t="s">
        <v>4</v>
      </c>
      <c r="E5" s="2"/>
      <c r="F5" s="3"/>
      <c r="G5" s="4" t="s">
        <v>5</v>
      </c>
      <c r="H5" s="5"/>
      <c r="I5" s="8"/>
    </row>
    <row r="6" spans="1:9" ht="15.6">
      <c r="A6" s="38" t="s">
        <v>45</v>
      </c>
      <c r="B6" s="40"/>
      <c r="C6" s="40"/>
      <c r="D6" s="40"/>
      <c r="E6" s="40"/>
      <c r="F6" s="40"/>
      <c r="G6" s="40"/>
      <c r="H6" s="40"/>
    </row>
    <row r="7" spans="1:9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 spans="1:9">
      <c r="A8" t="s">
        <v>54</v>
      </c>
      <c r="B8" t="s">
        <v>55</v>
      </c>
      <c r="C8">
        <v>70</v>
      </c>
      <c r="D8">
        <v>15</v>
      </c>
      <c r="E8">
        <v>2</v>
      </c>
      <c r="F8">
        <v>0</v>
      </c>
      <c r="G8" t="s">
        <v>55</v>
      </c>
      <c r="H8" t="s">
        <v>55</v>
      </c>
    </row>
    <row r="9" spans="1:9">
      <c r="A9" t="s">
        <v>56</v>
      </c>
      <c r="B9" t="s">
        <v>55</v>
      </c>
      <c r="C9">
        <v>25</v>
      </c>
      <c r="D9">
        <v>5</v>
      </c>
      <c r="E9">
        <v>2</v>
      </c>
      <c r="F9">
        <v>0</v>
      </c>
      <c r="G9" t="s">
        <v>55</v>
      </c>
      <c r="H9" t="s">
        <v>55</v>
      </c>
    </row>
    <row r="10" spans="1:9">
      <c r="A10" t="s">
        <v>57</v>
      </c>
      <c r="B10" t="s">
        <v>55</v>
      </c>
      <c r="C10">
        <v>60</v>
      </c>
      <c r="D10">
        <v>15</v>
      </c>
      <c r="E10">
        <v>0</v>
      </c>
      <c r="F10">
        <v>0</v>
      </c>
      <c r="G10" t="s">
        <v>55</v>
      </c>
      <c r="H10" t="s">
        <v>55</v>
      </c>
    </row>
    <row r="11" spans="1:9">
      <c r="A11" t="s">
        <v>58</v>
      </c>
      <c r="B11" t="s">
        <v>55</v>
      </c>
      <c r="C11">
        <v>150</v>
      </c>
      <c r="D11">
        <v>12</v>
      </c>
      <c r="E11">
        <v>8</v>
      </c>
      <c r="F11">
        <v>8</v>
      </c>
      <c r="G11" t="s">
        <v>55</v>
      </c>
      <c r="H11" t="s">
        <v>55</v>
      </c>
    </row>
    <row r="12" spans="1:9">
      <c r="A12" t="s">
        <v>59</v>
      </c>
      <c r="B12" t="s">
        <v>55</v>
      </c>
      <c r="C12">
        <v>90</v>
      </c>
      <c r="D12">
        <v>12</v>
      </c>
      <c r="E12">
        <v>8</v>
      </c>
      <c r="F12">
        <v>0</v>
      </c>
      <c r="G12" t="s">
        <v>55</v>
      </c>
      <c r="H12" t="s">
        <v>55</v>
      </c>
    </row>
    <row r="13" spans="1:9">
      <c r="A13" t="s">
        <v>60</v>
      </c>
      <c r="B13" t="s">
        <v>55</v>
      </c>
      <c r="C13">
        <v>55</v>
      </c>
      <c r="D13">
        <v>0</v>
      </c>
      <c r="E13">
        <v>7</v>
      </c>
      <c r="F13">
        <v>2</v>
      </c>
      <c r="G13" t="s">
        <v>55</v>
      </c>
      <c r="H13" t="s">
        <v>55</v>
      </c>
    </row>
    <row r="14" spans="1:9">
      <c r="A14" t="s">
        <v>61</v>
      </c>
      <c r="B14" t="s">
        <v>55</v>
      </c>
      <c r="C14">
        <v>75</v>
      </c>
      <c r="D14">
        <v>0</v>
      </c>
      <c r="E14">
        <v>7</v>
      </c>
      <c r="F14">
        <v>5</v>
      </c>
      <c r="G14" t="s">
        <v>55</v>
      </c>
      <c r="H14" t="s">
        <v>55</v>
      </c>
    </row>
    <row r="15" spans="1:9">
      <c r="A15" t="s">
        <v>62</v>
      </c>
      <c r="B15" t="s">
        <v>55</v>
      </c>
      <c r="C15">
        <v>100</v>
      </c>
      <c r="D15">
        <v>0</v>
      </c>
      <c r="E15">
        <v>7</v>
      </c>
      <c r="F15">
        <v>8</v>
      </c>
      <c r="G15" t="s">
        <v>55</v>
      </c>
      <c r="H15" t="s">
        <v>55</v>
      </c>
    </row>
    <row r="16" spans="1:9">
      <c r="A16" t="s">
        <v>63</v>
      </c>
      <c r="B16" t="s">
        <v>55</v>
      </c>
      <c r="C16">
        <v>125</v>
      </c>
      <c r="D16">
        <v>0</v>
      </c>
      <c r="E16">
        <v>7</v>
      </c>
      <c r="F16">
        <v>10</v>
      </c>
      <c r="G16" t="s">
        <v>55</v>
      </c>
      <c r="H16" t="s">
        <v>55</v>
      </c>
    </row>
    <row r="17" spans="1:8">
      <c r="A17" t="s">
        <v>64</v>
      </c>
      <c r="B17" t="s">
        <v>55</v>
      </c>
      <c r="C17">
        <v>45</v>
      </c>
      <c r="D17">
        <v>0</v>
      </c>
      <c r="E17">
        <v>0</v>
      </c>
      <c r="F17">
        <v>5</v>
      </c>
      <c r="G17" t="s">
        <v>55</v>
      </c>
      <c r="H17" t="s">
        <v>55</v>
      </c>
    </row>
    <row r="18" spans="1:8">
      <c r="A18" t="s">
        <v>65</v>
      </c>
      <c r="B18" t="s">
        <v>55</v>
      </c>
      <c r="C18">
        <v>40</v>
      </c>
      <c r="D18">
        <v>10</v>
      </c>
      <c r="E18">
        <v>0</v>
      </c>
      <c r="F18">
        <v>0</v>
      </c>
      <c r="G18" t="s">
        <v>55</v>
      </c>
      <c r="H18" t="s">
        <v>55</v>
      </c>
    </row>
  </sheetData>
  <mergeCells count="5">
    <mergeCell ref="A1:I1"/>
    <mergeCell ref="A2:I2"/>
    <mergeCell ref="A3:I3"/>
    <mergeCell ref="A4:I4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"/>
  <sheetViews>
    <sheetView workbookViewId="0">
      <selection sqref="A1:I5"/>
    </sheetView>
  </sheetViews>
  <sheetFormatPr baseColWidth="10" defaultColWidth="9" defaultRowHeight="14.4"/>
  <cols>
    <col min="1" max="7" width="20" customWidth="1"/>
  </cols>
  <sheetData>
    <row r="1" spans="1:9" ht="15.6">
      <c r="A1" s="34" t="s">
        <v>0</v>
      </c>
      <c r="B1" s="45"/>
      <c r="C1" s="45"/>
      <c r="D1" s="45"/>
      <c r="E1" s="45"/>
      <c r="F1" s="45"/>
      <c r="G1" s="45"/>
      <c r="H1" s="45"/>
      <c r="I1" s="46"/>
    </row>
    <row r="2" spans="1:9" ht="15.6">
      <c r="A2" s="37" t="s">
        <v>1</v>
      </c>
      <c r="B2" s="40"/>
      <c r="C2" s="40"/>
      <c r="D2" s="40"/>
      <c r="E2" s="40"/>
      <c r="F2" s="40"/>
      <c r="G2" s="40"/>
      <c r="H2" s="40"/>
      <c r="I2" s="47"/>
    </row>
    <row r="3" spans="1:9" ht="15.6">
      <c r="A3" s="37" t="s">
        <v>2</v>
      </c>
      <c r="B3" s="40"/>
      <c r="C3" s="40"/>
      <c r="D3" s="40"/>
      <c r="E3" s="40"/>
      <c r="F3" s="40"/>
      <c r="G3" s="40"/>
      <c r="H3" s="40"/>
      <c r="I3" s="47"/>
    </row>
    <row r="4" spans="1:9" ht="15.6">
      <c r="A4" s="37"/>
      <c r="B4" s="40"/>
      <c r="C4" s="40"/>
      <c r="D4" s="40"/>
      <c r="E4" s="40"/>
      <c r="F4" s="40"/>
      <c r="G4" s="40"/>
      <c r="H4" s="40"/>
      <c r="I4" s="47"/>
    </row>
    <row r="5" spans="1:9" ht="15.6">
      <c r="A5" s="1" t="s">
        <v>3</v>
      </c>
      <c r="B5" s="2"/>
      <c r="C5" s="3"/>
      <c r="D5" s="4" t="s">
        <v>4</v>
      </c>
      <c r="E5" s="2"/>
      <c r="F5" s="3"/>
      <c r="G5" s="4" t="s">
        <v>5</v>
      </c>
      <c r="H5" s="5"/>
      <c r="I5" s="8"/>
    </row>
    <row r="6" spans="1:9" ht="15.6">
      <c r="A6" s="6"/>
      <c r="B6" s="3"/>
      <c r="C6" s="3"/>
      <c r="D6" s="4"/>
      <c r="E6" s="3"/>
      <c r="F6" s="3"/>
      <c r="G6" s="3"/>
      <c r="H6" s="3"/>
      <c r="I6" s="8"/>
    </row>
    <row r="7" spans="1:9">
      <c r="A7" t="s">
        <v>66</v>
      </c>
      <c r="B7" t="s">
        <v>46</v>
      </c>
      <c r="C7" t="s">
        <v>67</v>
      </c>
      <c r="D7" t="s">
        <v>48</v>
      </c>
      <c r="E7" t="s">
        <v>49</v>
      </c>
      <c r="F7" t="s">
        <v>50</v>
      </c>
      <c r="G7" t="s">
        <v>51</v>
      </c>
    </row>
    <row r="8" spans="1:9">
      <c r="A8" t="s">
        <v>68</v>
      </c>
      <c r="B8" t="s">
        <v>54</v>
      </c>
      <c r="C8" t="s">
        <v>55</v>
      </c>
      <c r="D8" t="s">
        <v>55</v>
      </c>
      <c r="E8" t="s">
        <v>55</v>
      </c>
      <c r="F8" t="s">
        <v>55</v>
      </c>
      <c r="G8" t="s">
        <v>55</v>
      </c>
    </row>
    <row r="9" spans="1:9">
      <c r="A9" t="s">
        <v>68</v>
      </c>
      <c r="B9" t="s">
        <v>56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</row>
    <row r="10" spans="1:9">
      <c r="A10" t="s">
        <v>68</v>
      </c>
      <c r="B10" t="s">
        <v>57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</row>
    <row r="11" spans="1:9">
      <c r="A11" t="s">
        <v>68</v>
      </c>
      <c r="B11" t="s">
        <v>58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</row>
    <row r="12" spans="1:9">
      <c r="A12" t="s">
        <v>68</v>
      </c>
      <c r="B12" t="s">
        <v>59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</row>
    <row r="13" spans="1:9">
      <c r="A13" t="s">
        <v>68</v>
      </c>
      <c r="B13" t="s">
        <v>60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</row>
    <row r="14" spans="1:9">
      <c r="A14" t="s">
        <v>68</v>
      </c>
      <c r="B14" t="s">
        <v>61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</row>
    <row r="15" spans="1:9">
      <c r="A15" t="s">
        <v>68</v>
      </c>
      <c r="B15" t="s">
        <v>62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</row>
    <row r="16" spans="1:9">
      <c r="A16" t="s">
        <v>68</v>
      </c>
      <c r="B16" t="s">
        <v>63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</row>
    <row r="17" spans="1:7">
      <c r="A17" t="s">
        <v>68</v>
      </c>
      <c r="B17" t="s">
        <v>64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</row>
    <row r="18" spans="1:7">
      <c r="A18" t="s">
        <v>68</v>
      </c>
      <c r="B18" t="s">
        <v>65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</row>
    <row r="19" spans="1:7">
      <c r="A19" t="s">
        <v>69</v>
      </c>
      <c r="B19" t="s">
        <v>54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</row>
    <row r="20" spans="1:7">
      <c r="A20" t="s">
        <v>69</v>
      </c>
      <c r="B20" t="s">
        <v>56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</row>
    <row r="21" spans="1:7">
      <c r="A21" t="s">
        <v>69</v>
      </c>
      <c r="B21" t="s">
        <v>57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</row>
    <row r="22" spans="1:7">
      <c r="A22" t="s">
        <v>69</v>
      </c>
      <c r="B22" t="s">
        <v>58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</row>
    <row r="23" spans="1:7">
      <c r="A23" t="s">
        <v>69</v>
      </c>
      <c r="B23" t="s">
        <v>59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</row>
    <row r="24" spans="1:7">
      <c r="A24" t="s">
        <v>69</v>
      </c>
      <c r="B24" t="s">
        <v>60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</row>
    <row r="25" spans="1:7">
      <c r="A25" t="s">
        <v>69</v>
      </c>
      <c r="B25" t="s">
        <v>61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</row>
    <row r="26" spans="1:7">
      <c r="A26" t="s">
        <v>69</v>
      </c>
      <c r="B26" t="s">
        <v>62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</row>
    <row r="27" spans="1:7">
      <c r="A27" t="s">
        <v>69</v>
      </c>
      <c r="B27" t="s">
        <v>63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</row>
    <row r="28" spans="1:7">
      <c r="A28" t="s">
        <v>69</v>
      </c>
      <c r="B28" t="s">
        <v>64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</row>
    <row r="29" spans="1:7">
      <c r="A29" t="s">
        <v>69</v>
      </c>
      <c r="B29" t="s">
        <v>65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</row>
    <row r="30" spans="1:7">
      <c r="A30" t="s">
        <v>70</v>
      </c>
      <c r="B30" t="s">
        <v>54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</row>
    <row r="31" spans="1:7">
      <c r="A31" t="s">
        <v>70</v>
      </c>
      <c r="B31" t="s">
        <v>56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</row>
    <row r="32" spans="1:7">
      <c r="A32" t="s">
        <v>70</v>
      </c>
      <c r="B32" t="s">
        <v>57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</row>
    <row r="33" spans="1:7">
      <c r="A33" t="s">
        <v>70</v>
      </c>
      <c r="B33" t="s">
        <v>58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</row>
    <row r="34" spans="1:7">
      <c r="A34" t="s">
        <v>70</v>
      </c>
      <c r="B34" t="s">
        <v>59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</row>
    <row r="35" spans="1:7">
      <c r="A35" t="s">
        <v>70</v>
      </c>
      <c r="B35" t="s">
        <v>60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</row>
    <row r="36" spans="1:7">
      <c r="A36" t="s">
        <v>70</v>
      </c>
      <c r="B36" t="s">
        <v>61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</row>
    <row r="37" spans="1:7">
      <c r="A37" t="s">
        <v>70</v>
      </c>
      <c r="B37" t="s">
        <v>62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</row>
    <row r="38" spans="1:7">
      <c r="A38" t="s">
        <v>70</v>
      </c>
      <c r="B38" t="s">
        <v>63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</row>
    <row r="39" spans="1:7">
      <c r="A39" t="s">
        <v>70</v>
      </c>
      <c r="B39" t="s">
        <v>64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</row>
    <row r="40" spans="1:7">
      <c r="A40" t="s">
        <v>70</v>
      </c>
      <c r="B40" t="s">
        <v>65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</row>
    <row r="41" spans="1:7">
      <c r="A41" t="s">
        <v>71</v>
      </c>
      <c r="B41" t="s">
        <v>54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</row>
    <row r="42" spans="1:7">
      <c r="A42" t="s">
        <v>71</v>
      </c>
      <c r="B42" t="s">
        <v>56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</row>
    <row r="43" spans="1:7">
      <c r="A43" t="s">
        <v>71</v>
      </c>
      <c r="B43" t="s">
        <v>57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</row>
    <row r="44" spans="1:7">
      <c r="A44" t="s">
        <v>71</v>
      </c>
      <c r="B44" t="s">
        <v>58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</row>
    <row r="45" spans="1:7">
      <c r="A45" t="s">
        <v>71</v>
      </c>
      <c r="B45" t="s">
        <v>59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</row>
    <row r="46" spans="1:7">
      <c r="A46" t="s">
        <v>71</v>
      </c>
      <c r="B46" t="s">
        <v>60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</row>
    <row r="47" spans="1:7">
      <c r="A47" t="s">
        <v>71</v>
      </c>
      <c r="B47" t="s">
        <v>61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</row>
    <row r="48" spans="1:7">
      <c r="A48" t="s">
        <v>71</v>
      </c>
      <c r="B48" t="s">
        <v>62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</row>
    <row r="49" spans="1:7">
      <c r="A49" t="s">
        <v>71</v>
      </c>
      <c r="B49" t="s">
        <v>63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</row>
    <row r="50" spans="1:7">
      <c r="A50" t="s">
        <v>71</v>
      </c>
      <c r="B50" t="s">
        <v>64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</row>
    <row r="51" spans="1:7">
      <c r="A51" t="s">
        <v>71</v>
      </c>
      <c r="B51" t="s">
        <v>65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</row>
    <row r="52" spans="1:7">
      <c r="A52" t="s">
        <v>72</v>
      </c>
      <c r="B52" t="s">
        <v>54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</row>
    <row r="53" spans="1:7">
      <c r="A53" t="s">
        <v>72</v>
      </c>
      <c r="B53" t="s">
        <v>56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</row>
    <row r="54" spans="1:7">
      <c r="A54" t="s">
        <v>72</v>
      </c>
      <c r="B54" t="s">
        <v>57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</row>
    <row r="55" spans="1:7">
      <c r="A55" t="s">
        <v>72</v>
      </c>
      <c r="B55" t="s">
        <v>58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</row>
    <row r="56" spans="1:7">
      <c r="A56" t="s">
        <v>72</v>
      </c>
      <c r="B56" t="s">
        <v>59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</row>
    <row r="57" spans="1:7">
      <c r="A57" t="s">
        <v>72</v>
      </c>
      <c r="B57" t="s">
        <v>60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</row>
    <row r="58" spans="1:7">
      <c r="A58" t="s">
        <v>72</v>
      </c>
      <c r="B58" t="s">
        <v>61</v>
      </c>
      <c r="C58" t="s">
        <v>55</v>
      </c>
      <c r="D58" t="s">
        <v>55</v>
      </c>
      <c r="E58" t="s">
        <v>55</v>
      </c>
      <c r="F58" t="s">
        <v>55</v>
      </c>
      <c r="G58" t="s">
        <v>55</v>
      </c>
    </row>
    <row r="59" spans="1:7">
      <c r="A59" t="s">
        <v>72</v>
      </c>
      <c r="B59" t="s">
        <v>62</v>
      </c>
      <c r="C59" t="s">
        <v>55</v>
      </c>
      <c r="D59" t="s">
        <v>55</v>
      </c>
      <c r="E59" t="s">
        <v>55</v>
      </c>
      <c r="F59" t="s">
        <v>55</v>
      </c>
      <c r="G59" t="s">
        <v>55</v>
      </c>
    </row>
    <row r="60" spans="1:7">
      <c r="A60" t="s">
        <v>72</v>
      </c>
      <c r="B60" t="s">
        <v>63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</row>
    <row r="61" spans="1:7">
      <c r="A61" t="s">
        <v>72</v>
      </c>
      <c r="B61" t="s">
        <v>64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</row>
    <row r="62" spans="1:7">
      <c r="A62" t="s">
        <v>72</v>
      </c>
      <c r="B62" t="s">
        <v>65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</row>
    <row r="63" spans="1:7">
      <c r="A63" t="s">
        <v>73</v>
      </c>
      <c r="B63" t="s">
        <v>54</v>
      </c>
      <c r="C63" t="s">
        <v>55</v>
      </c>
      <c r="D63" t="s">
        <v>55</v>
      </c>
      <c r="E63" t="s">
        <v>55</v>
      </c>
      <c r="F63" t="s">
        <v>55</v>
      </c>
      <c r="G63" t="s">
        <v>55</v>
      </c>
    </row>
    <row r="64" spans="1:7">
      <c r="A64" t="s">
        <v>73</v>
      </c>
      <c r="B64" t="s">
        <v>56</v>
      </c>
      <c r="C64" t="s">
        <v>55</v>
      </c>
      <c r="D64" t="s">
        <v>55</v>
      </c>
      <c r="E64" t="s">
        <v>55</v>
      </c>
      <c r="F64" t="s">
        <v>55</v>
      </c>
      <c r="G64" t="s">
        <v>55</v>
      </c>
    </row>
    <row r="65" spans="1:7">
      <c r="A65" t="s">
        <v>73</v>
      </c>
      <c r="B65" t="s">
        <v>57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</row>
    <row r="66" spans="1:7">
      <c r="A66" t="s">
        <v>73</v>
      </c>
      <c r="B66" t="s">
        <v>58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</row>
    <row r="67" spans="1:7">
      <c r="A67" t="s">
        <v>73</v>
      </c>
      <c r="B67" t="s">
        <v>59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</row>
    <row r="68" spans="1:7">
      <c r="A68" t="s">
        <v>73</v>
      </c>
      <c r="B68" t="s">
        <v>60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</row>
    <row r="69" spans="1:7">
      <c r="A69" t="s">
        <v>73</v>
      </c>
      <c r="B69" t="s">
        <v>61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</row>
    <row r="70" spans="1:7">
      <c r="A70" t="s">
        <v>73</v>
      </c>
      <c r="B70" t="s">
        <v>62</v>
      </c>
      <c r="C70" t="s">
        <v>55</v>
      </c>
      <c r="D70" t="s">
        <v>55</v>
      </c>
      <c r="E70" t="s">
        <v>55</v>
      </c>
      <c r="F70" t="s">
        <v>55</v>
      </c>
      <c r="G70" t="s">
        <v>55</v>
      </c>
    </row>
    <row r="71" spans="1:7">
      <c r="A71" t="s">
        <v>73</v>
      </c>
      <c r="B71" t="s">
        <v>63</v>
      </c>
      <c r="C71" t="s">
        <v>55</v>
      </c>
      <c r="D71" t="s">
        <v>55</v>
      </c>
      <c r="E71" t="s">
        <v>55</v>
      </c>
      <c r="F71" t="s">
        <v>55</v>
      </c>
      <c r="G71" t="s">
        <v>55</v>
      </c>
    </row>
    <row r="72" spans="1:7">
      <c r="A72" t="s">
        <v>73</v>
      </c>
      <c r="B72" t="s">
        <v>64</v>
      </c>
      <c r="C72" t="s">
        <v>55</v>
      </c>
      <c r="D72" t="s">
        <v>55</v>
      </c>
      <c r="E72" t="s">
        <v>55</v>
      </c>
      <c r="F72" t="s">
        <v>55</v>
      </c>
      <c r="G72" t="s">
        <v>55</v>
      </c>
    </row>
    <row r="73" spans="1:7">
      <c r="A73" t="s">
        <v>73</v>
      </c>
      <c r="B73" t="s">
        <v>65</v>
      </c>
      <c r="C73" t="s">
        <v>55</v>
      </c>
      <c r="D73" t="s">
        <v>55</v>
      </c>
      <c r="E73" t="s">
        <v>55</v>
      </c>
      <c r="F73" t="s">
        <v>55</v>
      </c>
      <c r="G73" t="s">
        <v>55</v>
      </c>
    </row>
  </sheetData>
  <mergeCells count="4">
    <mergeCell ref="A1:I1"/>
    <mergeCell ref="A2:I2"/>
    <mergeCell ref="A3:I3"/>
    <mergeCell ref="A4:I4"/>
  </mergeCells>
  <pageMargins left="0.75" right="0.75" top="1" bottom="1" header="0.5" footer="0.5"/>
  <pageSetup scale="5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Requerimientos Energéticos</vt:lpstr>
      <vt:lpstr>Hoja4</vt:lpstr>
      <vt:lpstr>Grupos e Intercambios</vt:lpstr>
      <vt:lpstr>Plan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Keivan Carrizo</cp:lastModifiedBy>
  <dcterms:created xsi:type="dcterms:W3CDTF">2025-10-13T17:24:00Z</dcterms:created>
  <dcterms:modified xsi:type="dcterms:W3CDTF">2026-06-15T04:06:36Z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48A39B037A9240CE95268C78A95E8266_13</vt:lpwstr>
  </property>
  <property fmtid="{D5CDD505-2E9C-101B-9397-08002B2CF9AE}" pid="3" name="KSOProductBuildVer">
    <vt:lpwstr>2058-12.2.0.22549</vt:lpwstr>
  </property>
</Properties>
</file>